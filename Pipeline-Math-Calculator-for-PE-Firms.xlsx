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 Calculator" sheetId="1" state="visible" r:id="rId1"/>
    <sheet xmlns:r="http://schemas.openxmlformats.org/officeDocument/2006/relationships" name="Sensitivity"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b val="1"/>
      <color rgb="00FFFFFF"/>
      <sz val="14"/>
    </font>
    <font>
      <b val="1"/>
      <color rgb="00FFFFFF"/>
      <sz val="11"/>
    </font>
    <font>
      <sz val="11"/>
    </font>
    <font>
      <b val="1"/>
      <sz val="11"/>
    </font>
    <font>
      <i val="1"/>
      <color rgb="00595959"/>
      <sz val="9"/>
    </font>
    <font>
      <b val="1"/>
      <color rgb="001F3864"/>
      <sz val="16"/>
    </font>
    <font>
      <b val="1"/>
      <color rgb="00C00000"/>
      <sz val="11"/>
    </font>
    <font>
      <b val="1"/>
      <color rgb="001F3864"/>
    </font>
    <font>
      <b val="1"/>
      <color rgb="001F3864"/>
      <sz val="11"/>
    </font>
    <font>
      <b val="1"/>
      <color rgb="001F3864"/>
      <sz val="12"/>
    </font>
  </fonts>
  <fills count="8">
    <fill>
      <patternFill/>
    </fill>
    <fill>
      <patternFill patternType="gray125"/>
    </fill>
    <fill>
      <patternFill patternType="solid">
        <fgColor rgb="001E7145"/>
      </patternFill>
    </fill>
    <fill>
      <patternFill patternType="solid">
        <fgColor rgb="001F3864"/>
      </patternFill>
    </fill>
    <fill>
      <patternFill patternType="solid">
        <fgColor rgb="00FFF2CC"/>
      </patternFill>
    </fill>
    <fill>
      <patternFill patternType="solid">
        <fgColor rgb="00DCE6F1"/>
      </patternFill>
    </fill>
    <fill>
      <patternFill patternType="solid">
        <fgColor rgb="00F8CBAD"/>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left" vertical="center"/>
    </xf>
    <xf numFmtId="0" fontId="0" fillId="3" borderId="1" pivotButton="0" quotePrefix="0" xfId="0"/>
    <xf numFmtId="0" fontId="3" fillId="0" borderId="1" applyAlignment="1" pivotButton="0" quotePrefix="0" xfId="0">
      <alignment horizontal="left" vertical="center" wrapText="1"/>
    </xf>
    <xf numFmtId="1" fontId="4" fillId="4" borderId="1" applyAlignment="1" pivotButton="0" quotePrefix="0" xfId="0">
      <alignment horizontal="right" vertical="center"/>
    </xf>
    <xf numFmtId="0" fontId="0" fillId="0" borderId="4" pivotButton="0" quotePrefix="0" xfId="0"/>
    <xf numFmtId="0" fontId="0" fillId="0" borderId="5" pivotButton="0" quotePrefix="0" xfId="0"/>
    <xf numFmtId="1" fontId="4" fillId="0" borderId="1" applyAlignment="1" pivotButton="0" quotePrefix="0" xfId="0">
      <alignment horizontal="right" vertical="center"/>
    </xf>
    <xf numFmtId="9" fontId="4" fillId="4" borderId="1" applyAlignment="1" pivotButton="0" quotePrefix="0" xfId="0">
      <alignment horizontal="right" vertical="center"/>
    </xf>
    <xf numFmtId="1" fontId="6" fillId="5" borderId="1" applyAlignment="1" pivotButton="0" quotePrefix="0" xfId="0">
      <alignment horizontal="right" vertical="center"/>
    </xf>
    <xf numFmtId="0" fontId="5" fillId="0" borderId="0" pivotButton="0" quotePrefix="0" xfId="0"/>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9" fontId="3" fillId="0" borderId="1" applyAlignment="1" pivotButton="0" quotePrefix="0" xfId="0">
      <alignment horizontal="right" vertical="center"/>
    </xf>
    <xf numFmtId="164" fontId="3" fillId="0" borderId="1" applyAlignment="1" pivotButton="0" quotePrefix="0" xfId="0">
      <alignment horizontal="right" vertical="center"/>
    </xf>
    <xf numFmtId="164" fontId="4" fillId="5" borderId="1" applyAlignment="1" pivotButton="0" quotePrefix="0" xfId="0">
      <alignment horizontal="right" vertical="center"/>
    </xf>
    <xf numFmtId="165" fontId="7" fillId="6" borderId="1" applyAlignment="1" pivotButton="0" quotePrefix="0" xfId="0">
      <alignment horizontal="right" vertical="center"/>
    </xf>
    <xf numFmtId="9" fontId="7" fillId="6" borderId="1" applyAlignment="1" pivotButton="0" quotePrefix="0" xfId="0">
      <alignment horizontal="right" vertical="center"/>
    </xf>
    <xf numFmtId="0" fontId="4" fillId="7" borderId="1" applyAlignment="1" pivotButton="0" quotePrefix="0" xfId="0">
      <alignment horizontal="center" vertical="center" wrapText="1"/>
    </xf>
    <xf numFmtId="0" fontId="0" fillId="7" borderId="1" pivotButton="0" quotePrefix="0" xfId="0"/>
    <xf numFmtId="1" fontId="3" fillId="0" borderId="1" applyAlignment="1" pivotButton="0" quotePrefix="0" xfId="0">
      <alignment horizontal="center" vertical="center" wrapText="1"/>
    </xf>
    <xf numFmtId="0" fontId="0" fillId="0" borderId="1" pivotButton="0" quotePrefix="0" xfId="0"/>
    <xf numFmtId="1" fontId="8" fillId="0" borderId="1" applyAlignment="1" pivotButton="0" quotePrefix="0" xfId="0">
      <alignment horizontal="center" vertical="center" wrapText="1"/>
    </xf>
    <xf numFmtId="0" fontId="9" fillId="5" borderId="0" applyAlignment="1" pivotButton="0" quotePrefix="0" xfId="0">
      <alignment horizontal="left" vertical="center" wrapText="1"/>
    </xf>
    <xf numFmtId="0" fontId="0" fillId="5" borderId="0" pivotButton="0" quotePrefix="0" xfId="0"/>
    <xf numFmtId="0" fontId="5" fillId="0" borderId="0" applyAlignment="1" pivotButton="0" quotePrefix="0" xfId="0">
      <alignment horizontal="left" vertical="top" wrapText="1"/>
    </xf>
    <xf numFmtId="0" fontId="4" fillId="0" borderId="0" pivotButton="0" quotePrefix="0" xfId="0"/>
    <xf numFmtId="9" fontId="4" fillId="7" borderId="1" applyAlignment="1" pivotButton="0" quotePrefix="0" xfId="0">
      <alignment horizontal="center" vertical="center" wrapText="1"/>
    </xf>
    <xf numFmtId="3" fontId="3" fillId="0" borderId="1" applyAlignment="1" pivotButton="0" quotePrefix="0" xfId="0">
      <alignment horizontal="center" vertical="center" wrapText="1"/>
    </xf>
    <xf numFmtId="0" fontId="6" fillId="0" borderId="0" pivotButton="0" quotePrefix="0" xfId="0"/>
    <xf numFmtId="0" fontId="10" fillId="0" borderId="0" applyAlignment="1" pivotButton="0" quotePrefix="0" xfId="0">
      <alignment horizontal="lef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27"/>
  <sheetViews>
    <sheetView showGridLines="0" workbookViewId="0">
      <pane ySplit="1" topLeftCell="A2" activePane="bottomLeft" state="frozen"/>
      <selection pane="bottomLeft" activeCell="A1" sqref="A1"/>
    </sheetView>
  </sheetViews>
  <sheetFormatPr baseColWidth="8" defaultRowHeight="15"/>
  <cols>
    <col width="2" customWidth="1" min="1" max="1"/>
    <col width="46" customWidth="1" min="2" max="2"/>
    <col width="12" customWidth="1" min="3" max="3"/>
    <col width="12" customWidth="1" min="4" max="4"/>
    <col width="2" customWidth="1" min="5" max="5"/>
    <col width="38" customWidth="1" min="6" max="6"/>
    <col width="14" customWidth="1" min="7" max="7"/>
    <col width="14" customWidth="1" min="8" max="8"/>
    <col width="14" customWidth="1" min="9" max="9"/>
    <col width="2" customWidth="1" min="10" max="10"/>
  </cols>
  <sheetData>
    <row r="1" ht="26" customHeight="1">
      <c r="B1" s="1" t="inlineStr">
        <is>
          <t>Pipeline Calculator for PE Firms</t>
        </is>
      </c>
      <c r="C1" s="2" t="n"/>
      <c r="D1" s="2" t="n"/>
      <c r="E1" s="2" t="n"/>
      <c r="F1" s="2" t="n"/>
      <c r="G1" s="2" t="n"/>
      <c r="H1" s="2" t="n"/>
      <c r="I1" s="2" t="n"/>
    </row>
    <row r="3">
      <c r="B3" s="3" t="inlineStr">
        <is>
          <t>1. INPUTS</t>
        </is>
      </c>
      <c r="C3" s="4" t="n"/>
      <c r="F3" s="3" t="inlineStr">
        <is>
          <t>PIPELINE SUMMARY</t>
        </is>
      </c>
      <c r="G3" s="4" t="n"/>
      <c r="H3" s="4" t="n"/>
      <c r="I3" s="4" t="n"/>
    </row>
    <row r="4">
      <c r="B4" s="5" t="inlineStr">
        <is>
          <t>Platforms you want to close (next 12 months)</t>
        </is>
      </c>
      <c r="C4" s="6" t="n">
        <v>3</v>
      </c>
      <c r="F4" s="5" t="inlineStr">
        <is>
          <t>Total platforms</t>
        </is>
      </c>
      <c r="G4" s="7" t="n"/>
      <c r="H4" s="8" t="n"/>
      <c r="I4" s="9">
        <f>C4</f>
        <v/>
      </c>
    </row>
    <row r="5">
      <c r="B5" s="5" t="inlineStr">
        <is>
          <t>Add-ons you want to close (next 12 months)</t>
        </is>
      </c>
      <c r="C5" s="6" t="n">
        <v>6</v>
      </c>
      <c r="F5" s="5" t="inlineStr">
        <is>
          <t>Total add-ons</t>
        </is>
      </c>
      <c r="G5" s="7" t="n"/>
      <c r="H5" s="8" t="n"/>
      <c r="I5" s="9">
        <f>C5</f>
        <v/>
      </c>
    </row>
    <row r="6" ht="30" customHeight="1">
      <c r="B6" s="5" t="inlineStr">
        <is>
          <t>Qualified owner conversations your team generates today (per month)</t>
        </is>
      </c>
      <c r="C6" s="6" t="n">
        <v>7</v>
      </c>
      <c r="F6" s="5" t="inlineStr">
        <is>
          <t>Total deals</t>
        </is>
      </c>
      <c r="G6" s="7" t="n"/>
      <c r="H6" s="8" t="n"/>
      <c r="I6" s="9">
        <f>C4+C5</f>
        <v/>
      </c>
    </row>
    <row r="7">
      <c r="B7" s="5" t="inlineStr">
        <is>
          <t>Conversion: Qualified conversation → LOI</t>
        </is>
      </c>
      <c r="C7" s="10" t="n">
        <v>0.2</v>
      </c>
      <c r="F7" s="5" t="inlineStr">
        <is>
          <t>Qualified conversations needed per deal</t>
        </is>
      </c>
      <c r="G7" s="7" t="n"/>
      <c r="H7" s="8" t="n"/>
      <c r="I7" s="9">
        <f>ROUNDUP(1/(C7*C8),0)</f>
        <v/>
      </c>
    </row>
    <row r="8">
      <c r="B8" s="5" t="inlineStr">
        <is>
          <t>Conversion: LOI → Close</t>
        </is>
      </c>
      <c r="C8" s="10" t="n">
        <v>0.2</v>
      </c>
      <c r="F8" s="5" t="inlineStr">
        <is>
          <t>Total qualified conversations needed (annual)</t>
        </is>
      </c>
      <c r="G8" s="7" t="n"/>
      <c r="H8" s="8" t="n"/>
      <c r="I8" s="11">
        <f>I6*I7</f>
        <v/>
      </c>
    </row>
    <row r="9">
      <c r="B9" s="12" t="inlineStr">
        <is>
          <t>Only the five shaded cells above are inputs. Everything else is calculated.</t>
        </is>
      </c>
    </row>
    <row r="11">
      <c r="B11" s="3" t="inlineStr">
        <is>
          <t>2. CONVERSION ASSUMPTIONS</t>
        </is>
      </c>
      <c r="C11" s="4" t="n"/>
      <c r="D11" s="4" t="n"/>
      <c r="F11" s="3" t="inlineStr">
        <is>
          <t>CURRENT PIPELINE VS TARGET</t>
        </is>
      </c>
      <c r="G11" s="4" t="n"/>
      <c r="H11" s="4" t="n"/>
      <c r="I11" s="4" t="n"/>
    </row>
    <row r="12">
      <c r="B12" s="13" t="inlineStr">
        <is>
          <t>Stage</t>
        </is>
      </c>
      <c r="C12" s="14" t="inlineStr">
        <is>
          <t>Conversion %</t>
        </is>
      </c>
      <c r="D12" s="14" t="inlineStr">
        <is>
          <t>Cumulative %</t>
        </is>
      </c>
      <c r="F12" s="5" t="inlineStr">
        <is>
          <t>Current qualified conversations per month</t>
        </is>
      </c>
      <c r="G12" s="7" t="n"/>
      <c r="H12" s="8" t="n"/>
      <c r="I12" s="9">
        <f>C6</f>
        <v/>
      </c>
    </row>
    <row r="13">
      <c r="B13" s="5" t="inlineStr">
        <is>
          <t>Qualified Conversation → LOI</t>
        </is>
      </c>
      <c r="C13" s="15">
        <f>C7</f>
        <v/>
      </c>
      <c r="D13" s="15">
        <f>C7</f>
        <v/>
      </c>
      <c r="F13" s="5" t="inlineStr">
        <is>
          <t>Annual run-rate</t>
        </is>
      </c>
      <c r="G13" s="7" t="n"/>
      <c r="H13" s="8" t="n"/>
      <c r="I13" s="9">
        <f>C6*12</f>
        <v/>
      </c>
    </row>
    <row r="14">
      <c r="B14" s="5" t="inlineStr">
        <is>
          <t>LOI → Close</t>
        </is>
      </c>
      <c r="C14" s="15">
        <f>C8</f>
        <v/>
      </c>
      <c r="D14" s="16">
        <f>C7*C8</f>
        <v/>
      </c>
      <c r="F14" s="5" t="inlineStr">
        <is>
          <t>Annual target needed</t>
        </is>
      </c>
      <c r="G14" s="7" t="n"/>
      <c r="H14" s="8" t="n"/>
      <c r="I14" s="9">
        <f>I8</f>
        <v/>
      </c>
    </row>
    <row r="15">
      <c r="B15" s="13" t="inlineStr">
        <is>
          <t>Qualified Conversation → Close</t>
        </is>
      </c>
      <c r="C15" s="5" t="inlineStr"/>
      <c r="D15" s="17">
        <f>C7*C8</f>
        <v/>
      </c>
      <c r="F15" s="13" t="inlineStr">
        <is>
          <t>CONVERSATIONS SHORT (ANNUAL)</t>
        </is>
      </c>
      <c r="G15" s="7" t="n"/>
      <c r="H15" s="8" t="n"/>
      <c r="I15" s="18">
        <f>I13-I14</f>
        <v/>
      </c>
    </row>
    <row r="16">
      <c r="F16" s="5" t="inlineStr">
        <is>
          <t>You are ... behind the volume your target requires</t>
        </is>
      </c>
      <c r="G16" s="7" t="n"/>
      <c r="H16" s="8" t="n"/>
      <c r="I16" s="19">
        <f>IF(I14=0,0,MAX(0,(I14-I13)/I14))</f>
        <v/>
      </c>
    </row>
    <row r="18">
      <c r="B18" s="3" t="inlineStr">
        <is>
          <t>3. PIPELINE MATH</t>
        </is>
      </c>
      <c r="C18" s="4" t="n"/>
      <c r="D18" s="4" t="n"/>
      <c r="E18" s="4" t="n"/>
      <c r="F18" s="4" t="n"/>
      <c r="G18" s="4" t="n"/>
      <c r="H18" s="4" t="n"/>
      <c r="I18" s="4" t="n"/>
    </row>
    <row r="19">
      <c r="B19" s="20" t="inlineStr">
        <is>
          <t>METRIC</t>
        </is>
      </c>
      <c r="C19" s="20" t="inlineStr">
        <is>
          <t>PER DEAL</t>
        </is>
      </c>
      <c r="D19" s="21" t="n"/>
      <c r="E19" s="20" t="inlineStr">
        <is>
          <t>ANNUAL TARGET</t>
        </is>
      </c>
      <c r="F19" s="21" t="n"/>
      <c r="G19" s="20" t="inlineStr">
        <is>
          <t>CURRENT (ANNUAL RUN-RATE)</t>
        </is>
      </c>
      <c r="H19" s="21" t="n"/>
      <c r="I19" s="21" t="n"/>
    </row>
    <row r="20">
      <c r="B20" s="13" t="inlineStr">
        <is>
          <t>Qualified Conversations Needed</t>
        </is>
      </c>
      <c r="C20" s="22">
        <f>I7</f>
        <v/>
      </c>
      <c r="D20" s="23" t="n"/>
      <c r="E20" s="24">
        <f>I8</f>
        <v/>
      </c>
      <c r="F20" s="23" t="n"/>
      <c r="G20" s="22">
        <f>C6*12</f>
        <v/>
      </c>
      <c r="H20" s="23" t="n"/>
      <c r="I20" s="23" t="n"/>
    </row>
    <row r="21">
      <c r="B21" s="13" t="inlineStr">
        <is>
          <t>LOIs Needed</t>
        </is>
      </c>
      <c r="C21" s="22">
        <f>ROUNDUP(I7*C7,0)</f>
        <v/>
      </c>
      <c r="D21" s="23" t="n"/>
      <c r="E21" s="24">
        <f>ROUNDUP(I8*C7,0)</f>
        <v/>
      </c>
      <c r="F21" s="23" t="n"/>
      <c r="G21" s="22">
        <f>ROUND(C6*12*C7,0)</f>
        <v/>
      </c>
      <c r="H21" s="23" t="n"/>
      <c r="I21" s="23" t="n"/>
    </row>
    <row r="22">
      <c r="B22" s="13" t="inlineStr">
        <is>
          <t>Deals Closed</t>
        </is>
      </c>
      <c r="C22" s="22">
        <f>ROUND(I7*C7*C8,0)</f>
        <v/>
      </c>
      <c r="D22" s="23" t="n"/>
      <c r="E22" s="24">
        <f>I6</f>
        <v/>
      </c>
      <c r="F22" s="23" t="n"/>
      <c r="G22" s="22">
        <f>ROUND(C6*12*C7*C8,0)</f>
        <v/>
      </c>
      <c r="H22" s="23" t="n"/>
      <c r="I22" s="23" t="n"/>
    </row>
    <row r="23" ht="22" customHeight="1">
      <c r="B23" s="25">
        <f>"The sourcing problem is not “we need more deal flow”. It is: “we are "&amp;TEXT(MAX(0,I14-I13),"#,##0")&amp;" qualified owner conversations short of our annual target”. That is "&amp;TEXT(ROUNDUP(MAX(0,I14-I13)/12,0),"0")&amp;" a month more than you generate today, and at the current run-rate you close "&amp;TEXT(ROUND(C6*12*C7*C8,0),"0")&amp;" of the "&amp;TEXT(I6,"0")&amp;" deals you are targeting."</f>
        <v/>
      </c>
      <c r="C23" s="26" t="n"/>
      <c r="D23" s="26" t="n"/>
      <c r="E23" s="26" t="n"/>
      <c r="F23" s="26" t="n"/>
      <c r="G23" s="26" t="n"/>
      <c r="H23" s="26" t="n"/>
      <c r="I23" s="26" t="n"/>
    </row>
    <row r="24" ht="22" customHeight="1">
      <c r="B24" s="26" t="n"/>
      <c r="C24" s="26" t="n"/>
      <c r="D24" s="26" t="n"/>
      <c r="E24" s="26" t="n"/>
      <c r="F24" s="26" t="n"/>
      <c r="G24" s="26" t="n"/>
      <c r="H24" s="26" t="n"/>
      <c r="I24" s="26" t="n"/>
    </row>
    <row r="26">
      <c r="B26" s="27" t="inlineStr">
        <is>
          <t>Assumptions are yours to change. If you do not know your own conversion rates, the 20% / 20% defaults are sector-typical for lower-middle-market origination — but they are assumptions, not your numbers. See the Sensitivity tab for how hard the requirement moves when they change, and the Read me tab before you show this to an investment committee.</t>
        </is>
      </c>
    </row>
    <row r="27"/>
  </sheetData>
  <mergeCells count="31">
    <mergeCell ref="B11:D11"/>
    <mergeCell ref="F5:H5"/>
    <mergeCell ref="G19:I19"/>
    <mergeCell ref="B3:C3"/>
    <mergeCell ref="F8:H8"/>
    <mergeCell ref="B18:I18"/>
    <mergeCell ref="C20:D20"/>
    <mergeCell ref="E20:F20"/>
    <mergeCell ref="F13:H13"/>
    <mergeCell ref="E19:F19"/>
    <mergeCell ref="F11:I11"/>
    <mergeCell ref="G20:I20"/>
    <mergeCell ref="C22:D22"/>
    <mergeCell ref="B1:I1"/>
    <mergeCell ref="C21:D21"/>
    <mergeCell ref="F14:H14"/>
    <mergeCell ref="G22:I22"/>
    <mergeCell ref="F3:I3"/>
    <mergeCell ref="F4:H4"/>
    <mergeCell ref="B26:I27"/>
    <mergeCell ref="B9:C9"/>
    <mergeCell ref="G21:I21"/>
    <mergeCell ref="F16:H16"/>
    <mergeCell ref="F6:H6"/>
    <mergeCell ref="C19:D19"/>
    <mergeCell ref="E22:F22"/>
    <mergeCell ref="F12:H12"/>
    <mergeCell ref="F7:H7"/>
    <mergeCell ref="F15:H15"/>
    <mergeCell ref="B23:I24"/>
    <mergeCell ref="E21:F21"/>
  </mergeCells>
  <dataValidations count="2">
    <dataValidation sqref="C7:C8" showDropDown="0" showInputMessage="0" showErrorMessage="1" allowBlank="0" errorTitle="Conversion rate" error="Enter a conversion rate between 0% and 100%." type="decimal" operator="between">
      <formula1>0.001</formula1>
      <formula2>1</formula2>
    </dataValidation>
    <dataValidation sqref="C4:C6" showDropDown="0" showInputMessage="0" showErrorMessage="1" allowBlank="0" errorTitle="Whole number" error="Enter a whole number of deals or conversations." type="whole" operator="between">
      <formula1>0</formula1>
      <formula2>1000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16"/>
  <sheetViews>
    <sheetView showGridLines="0" workbookViewId="0">
      <selection activeCell="A1" sqref="A1"/>
    </sheetView>
  </sheetViews>
  <sheetFormatPr baseColWidth="8" defaultRowHeight="15"/>
  <cols>
    <col width="2" customWidth="1" min="1" max="1"/>
    <col width="30" customWidth="1" min="2" max="2"/>
    <col width="13" customWidth="1" min="3" max="3"/>
    <col width="13" customWidth="1" min="4" max="4"/>
    <col width="13" customWidth="1" min="5" max="5"/>
    <col width="13" customWidth="1" min="6" max="6"/>
    <col width="13" customWidth="1" min="7" max="7"/>
  </cols>
  <sheetData>
    <row r="1" ht="26" customHeight="1">
      <c r="B1" s="1" t="inlineStr">
        <is>
          <t>Sensitivity — qualified owner conversations needed annually</t>
        </is>
      </c>
      <c r="C1" s="2" t="n"/>
      <c r="D1" s="2" t="n"/>
      <c r="E1" s="2" t="n"/>
      <c r="F1" s="2" t="n"/>
      <c r="G1" s="2" t="n"/>
    </row>
    <row r="3">
      <c r="B3" s="28">
        <f>"At your deal target of "&amp;TEXT('Pipeline Calculator'!I6,"0")&amp;" deals "&amp;"("&amp;TEXT('Pipeline Calculator'!C4,"0")&amp;" platforms + "&amp;TEXT('Pipeline Calculator'!C5,"0")&amp;" add-ons)"</f>
        <v/>
      </c>
    </row>
    <row r="5">
      <c r="B5" s="3" t="inlineStr">
        <is>
          <t>CONVERSATIONS NEEDED ANNUALLY</t>
        </is>
      </c>
      <c r="C5" s="4" t="n"/>
      <c r="D5" s="4" t="n"/>
      <c r="E5" s="4" t="n"/>
      <c r="F5" s="4" t="n"/>
      <c r="G5" s="4" t="n"/>
    </row>
    <row r="6">
      <c r="B6" s="13" t="inlineStr">
        <is>
          <t>Qualified conversation → LOI</t>
        </is>
      </c>
      <c r="C6" s="20" t="inlineStr">
        <is>
          <t>LOI → Close</t>
        </is>
      </c>
      <c r="D6" s="21" t="n"/>
      <c r="E6" s="21" t="n"/>
      <c r="F6" s="21" t="n"/>
      <c r="G6" s="21" t="n"/>
    </row>
    <row r="7">
      <c r="C7" s="29" t="n">
        <v>0.15</v>
      </c>
      <c r="D7" s="29" t="n">
        <v>0.2</v>
      </c>
      <c r="E7" s="29" t="n">
        <v>0.25</v>
      </c>
      <c r="F7" s="29" t="n">
        <v>0.3</v>
      </c>
      <c r="G7" s="29" t="n">
        <v>0.35</v>
      </c>
    </row>
    <row r="8">
      <c r="B8" s="29" t="n">
        <v>0.1</v>
      </c>
      <c r="C8" s="30">
        <f>ROUNDUP(1/(0.1*0.15),0)*'Pipeline Calculator'!$I$6</f>
        <v/>
      </c>
      <c r="D8" s="30">
        <f>ROUNDUP(1/(0.1*0.2),0)*'Pipeline Calculator'!$I$6</f>
        <v/>
      </c>
      <c r="E8" s="30">
        <f>ROUNDUP(1/(0.1*0.25),0)*'Pipeline Calculator'!$I$6</f>
        <v/>
      </c>
      <c r="F8" s="30">
        <f>ROUNDUP(1/(0.1*0.3),0)*'Pipeline Calculator'!$I$6</f>
        <v/>
      </c>
      <c r="G8" s="30">
        <f>ROUNDUP(1/(0.1*0.35),0)*'Pipeline Calculator'!$I$6</f>
        <v/>
      </c>
    </row>
    <row r="9">
      <c r="B9" s="29" t="n">
        <v>0.15</v>
      </c>
      <c r="C9" s="30">
        <f>ROUNDUP(1/(0.15*0.15),0)*'Pipeline Calculator'!$I$6</f>
        <v/>
      </c>
      <c r="D9" s="30">
        <f>ROUNDUP(1/(0.15*0.2),0)*'Pipeline Calculator'!$I$6</f>
        <v/>
      </c>
      <c r="E9" s="30">
        <f>ROUNDUP(1/(0.15*0.25),0)*'Pipeline Calculator'!$I$6</f>
        <v/>
      </c>
      <c r="F9" s="30">
        <f>ROUNDUP(1/(0.15*0.3),0)*'Pipeline Calculator'!$I$6</f>
        <v/>
      </c>
      <c r="G9" s="30">
        <f>ROUNDUP(1/(0.15*0.35),0)*'Pipeline Calculator'!$I$6</f>
        <v/>
      </c>
    </row>
    <row r="10">
      <c r="B10" s="29" t="n">
        <v>0.2</v>
      </c>
      <c r="C10" s="30">
        <f>ROUNDUP(1/(0.2*0.15),0)*'Pipeline Calculator'!$I$6</f>
        <v/>
      </c>
      <c r="D10" s="30">
        <f>ROUNDUP(1/(0.2*0.2),0)*'Pipeline Calculator'!$I$6</f>
        <v/>
      </c>
      <c r="E10" s="30">
        <f>ROUNDUP(1/(0.2*0.25),0)*'Pipeline Calculator'!$I$6</f>
        <v/>
      </c>
      <c r="F10" s="30">
        <f>ROUNDUP(1/(0.2*0.3),0)*'Pipeline Calculator'!$I$6</f>
        <v/>
      </c>
      <c r="G10" s="30">
        <f>ROUNDUP(1/(0.2*0.35),0)*'Pipeline Calculator'!$I$6</f>
        <v/>
      </c>
    </row>
    <row r="11">
      <c r="B11" s="29" t="n">
        <v>0.25</v>
      </c>
      <c r="C11" s="30">
        <f>ROUNDUP(1/(0.25*0.15),0)*'Pipeline Calculator'!$I$6</f>
        <v/>
      </c>
      <c r="D11" s="30">
        <f>ROUNDUP(1/(0.25*0.2),0)*'Pipeline Calculator'!$I$6</f>
        <v/>
      </c>
      <c r="E11" s="30">
        <f>ROUNDUP(1/(0.25*0.25),0)*'Pipeline Calculator'!$I$6</f>
        <v/>
      </c>
      <c r="F11" s="30">
        <f>ROUNDUP(1/(0.25*0.3),0)*'Pipeline Calculator'!$I$6</f>
        <v/>
      </c>
      <c r="G11" s="30">
        <f>ROUNDUP(1/(0.25*0.35),0)*'Pipeline Calculator'!$I$6</f>
        <v/>
      </c>
    </row>
    <row r="12">
      <c r="B12" s="29" t="n">
        <v>0.3</v>
      </c>
      <c r="C12" s="30">
        <f>ROUNDUP(1/(0.3*0.15),0)*'Pipeline Calculator'!$I$6</f>
        <v/>
      </c>
      <c r="D12" s="30">
        <f>ROUNDUP(1/(0.3*0.2),0)*'Pipeline Calculator'!$I$6</f>
        <v/>
      </c>
      <c r="E12" s="30">
        <f>ROUNDUP(1/(0.3*0.25),0)*'Pipeline Calculator'!$I$6</f>
        <v/>
      </c>
      <c r="F12" s="30">
        <f>ROUNDUP(1/(0.3*0.3),0)*'Pipeline Calculator'!$I$6</f>
        <v/>
      </c>
      <c r="G12" s="30">
        <f>ROUNDUP(1/(0.3*0.35),0)*'Pipeline Calculator'!$I$6</f>
        <v/>
      </c>
    </row>
    <row r="14">
      <c r="B14" s="27" t="inlineStr">
        <is>
          <t>Your current assumptions are highlighted on the Pipeline Calculator tab. Read the table the other way round and it makes the real point: improving conversion is almost always cheaper than tripling origination volume. Moving qualified-conversation-to-LOI from 20% to 25% takes 45 conversations a year off the requirement at a 9-deal target — and that improvement comes from a better-qualified list and better pre-call research, not from more outreach.</t>
        </is>
      </c>
    </row>
    <row r="15"/>
    <row r="16"/>
  </sheetData>
  <mergeCells count="5">
    <mergeCell ref="B3:G3"/>
    <mergeCell ref="B14:G16"/>
    <mergeCell ref="B5:G5"/>
    <mergeCell ref="C6:G6"/>
    <mergeCell ref="B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30"/>
  <sheetViews>
    <sheetView showGridLines="0" workbookViewId="0">
      <selection activeCell="A1" sqref="A1"/>
    </sheetView>
  </sheetViews>
  <sheetFormatPr baseColWidth="8" defaultRowHeight="15"/>
  <cols>
    <col width="2" customWidth="1" min="1" max="1"/>
    <col width="108" customWidth="1" min="2" max="2"/>
  </cols>
  <sheetData>
    <row r="1">
      <c r="B1" s="31" t="inlineStr">
        <is>
          <t>Pipeline Math Calculator for PE Firms</t>
        </is>
      </c>
    </row>
    <row r="3">
      <c r="B3" s="32" t="inlineStr">
        <is>
          <t>What this does</t>
        </is>
      </c>
    </row>
    <row r="4" ht="30" customHeight="1">
      <c r="B4" s="33" t="inlineStr">
        <is>
          <t>Most PE firms set a deal target for the year. Few work backwards to the amount of origination required to hit it. This does that arithmetic.</t>
        </is>
      </c>
    </row>
    <row r="6">
      <c r="B6" s="32" t="inlineStr">
        <is>
          <t>How to use it</t>
        </is>
      </c>
    </row>
    <row r="7">
      <c r="B7" s="33" t="inlineStr">
        <is>
          <t>1. Open the Pipeline Calculator tab.</t>
        </is>
      </c>
    </row>
    <row r="8" ht="30" customHeight="1">
      <c r="B8" s="33" t="inlineStr">
        <is>
          <t>2. Change only the five shaded cells: platforms, add-ons, your current qualified owner conversations per month, and your two conversion rates.</t>
        </is>
      </c>
    </row>
    <row r="9">
      <c r="B9" s="33" t="inlineStr">
        <is>
          <t>3. Read the blue box. That sentence is the output.</t>
        </is>
      </c>
    </row>
    <row r="10">
      <c r="B10" s="33" t="inlineStr">
        <is>
          <t>4. Check the Sensitivity tab before you rely on any of it.</t>
        </is>
      </c>
    </row>
    <row r="12">
      <c r="B12" s="32" t="inlineStr">
        <is>
          <t>What counts as a qualified owner conversation</t>
        </is>
      </c>
    </row>
    <row r="13" ht="45" customHeight="1">
      <c r="B13" s="33" t="inlineStr">
        <is>
          <t>A real conversation with somebody who can actually sell the business — the owner or the controlling shareholder, not a general manager and not a gatekeeper. It has to be two-way: an email you sent is not a conversation, and neither is a five-minute call that ended at "send me something".</t>
        </is>
      </c>
    </row>
    <row r="14">
      <c r="B14" s="33" t="inlineStr">
        <is>
          <t>If you count loosely here, every number in this model flatters you.</t>
        </is>
      </c>
    </row>
    <row r="16">
      <c r="B16" s="32" t="inlineStr">
        <is>
          <t>About the default conversion rates</t>
        </is>
      </c>
    </row>
    <row r="17" ht="30" customHeight="1">
      <c r="B17" s="33" t="inlineStr">
        <is>
          <t>The 20% qualified-conversation-to-LOI and 20% LOI-to-close defaults are sector-typical for lower-middle-market origination. They are assumptions, not your numbers.</t>
        </is>
      </c>
    </row>
    <row r="18" ht="45" customHeight="1">
      <c r="B18" s="33" t="inlineStr">
        <is>
          <t>Replace them with your own as soon as you have 20 or more qualified conversations to measure from. Below that, a conversion rate calculated from your own history is noise — a 50% close rate from two conversations has misled more than one investment committee.</t>
        </is>
      </c>
    </row>
    <row r="20">
      <c r="B20" s="32" t="inlineStr">
        <is>
          <t>What this model does not do</t>
        </is>
      </c>
    </row>
    <row r="21" ht="45" customHeight="1">
      <c r="B21" s="33" t="inlineStr">
        <is>
          <t>It does not tell you whether your deal target is realistic, whether your buy box is wide enough to support the required volume, or whether your team can carry the conversation load. Those are the questions the answer usually raises. If 9 deals needs 225 conversations and you have a two-person team and no origination hire, that is a resourcing conversation rather than a pipeline one.</t>
        </is>
      </c>
    </row>
    <row r="23">
      <c r="B23" s="32" t="inlineStr">
        <is>
          <t>Where the leverage actually is</t>
        </is>
      </c>
    </row>
    <row r="24" ht="45" customHeight="1">
      <c r="B24" s="33" t="inlineStr">
        <is>
          <t>The instinct on seeing a shortfall is to increase volume. The Sensitivity tab usually says otherwise: improving conversion is cheaper than tripling outreach, and conversion improves through a better-qualified target list and better pre-call research — not through more emails.</t>
        </is>
      </c>
    </row>
    <row r="26">
      <c r="B26" s="32" t="inlineStr">
        <is>
          <t>The free 12-agent system that does the origination half</t>
        </is>
      </c>
    </row>
    <row r="27" ht="45" customHeight="1">
      <c r="B27" s="33" t="inlineStr">
        <is>
          <t>github.com/corebits-io/pe-deal-origination — twelve Claude Code agents that map a buy box into a market, find the off-market companies inside it, establish who really owns them, score them PRIORITY / WATCH / PASS, read the succession signals, and get you a verified route to the person who can sell. It includes a pipeline-monitor agent that runs exactly this calculation against a live target list.</t>
        </is>
      </c>
    </row>
    <row r="29">
      <c r="B29" s="32" t="inlineStr">
        <is>
          <t>Corebits — corebits.io</t>
        </is>
      </c>
    </row>
    <row r="30">
      <c r="B30" s="33" t="inlineStr">
        <is>
          <t>MIT licensed. Do whatever you want with it.</t>
        </is>
      </c>
    </row>
  </sheetData>
  <mergeCells count="1">
    <mergeCell ref="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2026-09-03T15:11:57Z</dcterms:created>
  <dcterms:modified xmlns:dcterms="http://purl.org/dc/terms/" xmlns:xsi="http://www.w3.org/2001/XMLSchema-instance" xsi:type="dcterms:W3CDTF">2026-09-03T15:11:57Z</dcterms:modified>
</cp:coreProperties>
</file>